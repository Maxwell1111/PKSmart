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rdeshiri/ardi/"/>
    </mc:Choice>
  </mc:AlternateContent>
  <xr:revisionPtr revIDLastSave="0" documentId="8_{F51BA640-59D8-6245-A26A-C4931E0D8128}" xr6:coauthVersionLast="47" xr6:coauthVersionMax="47" xr10:uidLastSave="{00000000-0000-0000-0000-000000000000}"/>
  <bookViews>
    <workbookView xWindow="0" yWindow="500" windowWidth="30240" windowHeight="19640" xr2:uid="{00000000-000D-0000-FFFF-FFFF00000000}"/>
  </bookViews>
  <sheets>
    <sheet name="CDD Expor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5" i="1"/>
  <c r="E2" i="1"/>
</calcChain>
</file>

<file path=xl/sharedStrings.xml><?xml version="1.0" encoding="utf-8"?>
<sst xmlns="http://schemas.openxmlformats.org/spreadsheetml/2006/main" count="254" uniqueCount="161">
  <si>
    <t>Molecule Name</t>
  </si>
  <si>
    <t>SMILES</t>
  </si>
  <si>
    <t>PK (Routine): Dose</t>
  </si>
  <si>
    <t>PK (Routine): AUClast (mean) (h*nmol/l)</t>
  </si>
  <si>
    <t>GEN-0068121</t>
  </si>
  <si>
    <t>CN1C2=C(C(N)=NC=C2)N=C(C2=CC(C#C[C@]3(O)CCN(C)C3=O)=CC=C2)C1=O</t>
  </si>
  <si>
    <t>5</t>
  </si>
  <si>
    <t>GEN-0068004</t>
  </si>
  <si>
    <t>CC(C)[C@@H](C(=O)N1Cc2ccccc2[C@H]1C(=O)Nc1cn(C)c(=O)n(C)c1=O)NC(=O)[C@H](CC1CCCCC1)NC(=O)C</t>
  </si>
  <si>
    <t>GEN-0067874</t>
  </si>
  <si>
    <t>CC1=CC([C@@H](NC2=CC=C(F)C3=NNC(=O)N23)C)=C2C=C(N3CCC(C4=CN=C(C(F)F)N=C4)(F)CC3)C(C#N)=NC2=C1</t>
  </si>
  <si>
    <t>5.0</t>
  </si>
  <si>
    <t>GEN-0066779</t>
  </si>
  <si>
    <t>CN1CC[C@](C#Cc2cc3c(c4ncnc(N)n4)ccnn3c2)(O)C1=O</t>
  </si>
  <si>
    <t>GEN-0066500</t>
  </si>
  <si>
    <t>CC1=C2C(=NC(C3=CC(C#C[C@]4(O)CCN(C)C4=O)=CC=C3)=C1)C(C)=NNC2=O</t>
  </si>
  <si>
    <t>GEN-0065763</t>
  </si>
  <si>
    <t>CN1C(=O)C2=C(N=C(C3=CC(C#C[C@]4(O)CCN(C)C4=O)=CC=C3)C=C2)C(N)=N1</t>
  </si>
  <si>
    <t>GEN-0065670</t>
  </si>
  <si>
    <t>CC1=C2C(=NC(C3=CC(C#C[C@]4(O)CCN(C)C4=O)=CC=C3)=C1)C(N)=NNC2=O</t>
  </si>
  <si>
    <t>GEN-0065625</t>
  </si>
  <si>
    <t>CC1=CC([C@H](C)NC2=CC=CN=C2S(=O)(=O)N)=C2C=C(N3CCC(C4=CC=C(C(F)F)N=C4)(F)CC3)C(C(F)F)=NC2=C1</t>
  </si>
  <si>
    <t>GEN-0065396</t>
  </si>
  <si>
    <t>O=S(C1=NC=CC=C1N[C@H](C1=C2C=C(N3CCC(F)(C4=CN=C(C(F)F)N=C4)CC3)C(C#N)=NC2=CC(C)=C1)C)(N)=O</t>
  </si>
  <si>
    <t>GEN-0065386</t>
  </si>
  <si>
    <t>C1(C2=CC=C3C(=O)NN=C(N)C3=N2)=CC=CC(C#C[C@@]2(O)C(=O)N(C)CC2)=C1</t>
  </si>
  <si>
    <t>GEN-0065349</t>
  </si>
  <si>
    <t>O=S(C1=NC=CC=C1N[C@H](C1=C2C=C(N3CCN(C4=CC=C(C(F)(F)F)N=C4)CC3)C(C(F)F)=NC2=CC(C)=C1)C)(N)=O</t>
  </si>
  <si>
    <t>GEN-0065137</t>
  </si>
  <si>
    <t>O=C1NC2=C(C(C3=CN=C(OC(F)F)C=C3OC)=NC=C2)C=C1C1=C(C#N)C2=CC(Cl)=NC=C2N1</t>
  </si>
  <si>
    <t>GEN-0065134</t>
  </si>
  <si>
    <t>O=C1NC2=C(C(C3=CN=C(OC(F)F)C=C3OC)=NC=C2)C=C1C1=C(C#N)C2=C(CC)C(Cl)=NC=C2N1</t>
  </si>
  <si>
    <t>10.0</t>
  </si>
  <si>
    <t>GEN-0064740</t>
  </si>
  <si>
    <t>CN1CC[C@](C#CC2=CC(C3=C4C(=CC=C3)C=NC(N)=N4)=NS2)(O)C1=O</t>
  </si>
  <si>
    <t>GEN-0064481</t>
  </si>
  <si>
    <t>CCc1c2cc(c3cc4c(ccnc4c4ccc(C(C)(C)N)cc4OC)[nH]c3=O)[nH]c2cc(C#N)n1</t>
  </si>
  <si>
    <t>GEN-0064406</t>
  </si>
  <si>
    <t>CC1=CC([C@H](C)OC2=CC=CC=C2S(=O)(=O)N)=C2C=C(N3CCN(C4=CN=C(C5CC5)N=C4)CC3)C(C#N)=NC2=C1</t>
  </si>
  <si>
    <t>GEN-0064389</t>
  </si>
  <si>
    <t>O=S(C1=NC=CC=C1N[C@H](C1=C2C=C(N3CCN(C4=CN=C(C(F)F)N=C4)CC3)C(C#N)=NC2=CC(C)=C1)C)(N)=O</t>
  </si>
  <si>
    <t>GEN-0064197</t>
  </si>
  <si>
    <t>ClC1=NC(CC)=C2C(C#N)=C(C3=CC4=C(NC3=O)C=CN=C4C3=CN=C(OC(F)F)C=C3OC)NC2=C1</t>
  </si>
  <si>
    <t>GEN-0064093</t>
  </si>
  <si>
    <t>CC1=CC([C@@H](C)OC2=CC=CC=C2S(=O)(=O)N)=C2C=C(N3CCN(C4=CC=C(C(F)(F)F)N=C4)CC3)C(C#N)=NC2=C1</t>
  </si>
  <si>
    <t>GEN-0063991</t>
  </si>
  <si>
    <t>O=S(C1=CC(Cl)=CC=C1O[C@H](C1=C2C=C(C34COC(C3)C4)C(C#N)=NC2=CC(C)=C1)C)(N)=O</t>
  </si>
  <si>
    <t>GEN-0063949</t>
  </si>
  <si>
    <t>C1(OC)=CC(C2CC2)=NC=C1C1=C2C=C(C3=C(F)C4=CC(Cl)=NC=C4N3)C(=O)NC2=CC=N1</t>
  </si>
  <si>
    <t>GEN-0063936</t>
  </si>
  <si>
    <t>N#CC1=CC2=C(C(F)=C(C3=CC4=C(NC3=O)C=CN=C4C3=C(OC)C=C(C4CC4)N=C3)N2)C(CC)=N1</t>
  </si>
  <si>
    <t>GEN-0063182</t>
  </si>
  <si>
    <t>N1(C)C(=O)[C@](O)(C#CC2=CC=CC(C3=NC4=C(N)N=CC=C4C=N3)=C2)CC1</t>
  </si>
  <si>
    <t>GEN-0063181</t>
  </si>
  <si>
    <t>C1(N2N=C(C(N)=O)C3=C2N=CC=C3)=CC=CC(C#C[C@]2(O)[C@@H]3[C@H](N(C)C2=O)C3)=C1</t>
  </si>
  <si>
    <t>GEN-0063173</t>
  </si>
  <si>
    <t>O=S(C1=CC=CC=C1O[C@H](C1=C2C=C(N3CCN(C4=CN(C)N=C4)CC3)C(C(F)F)=NC2=CC(C)=C1)C)(N)=O</t>
  </si>
  <si>
    <t>GEN-0063085</t>
  </si>
  <si>
    <t>O=S(C1=CC(F)=CC=C1O[C@H](C1=C2C=C(N3CCN(C4=CN(C(F)F)N=C4)CC3)C(C#N)=NC2=CC(C)=C1)C)(N)=O</t>
  </si>
  <si>
    <t>GEN-0062666</t>
  </si>
  <si>
    <t>CCc1c2cc(c3cc4c(ccnc4c4cnc(OC(F)F)cc4OC)[nH]c3=O)[nH]c2cc(C#N)n1</t>
  </si>
  <si>
    <t>GEN-0062519</t>
  </si>
  <si>
    <t>O=S(C1=CC=CC=C1O[C@H](C1=C2C=C(N3CCN(C4=CN(C(F)F)N=C4)CC3)C(C#N)=NC2=CC(C)=C1)C)(N)=O</t>
  </si>
  <si>
    <t>GEN-0062395</t>
  </si>
  <si>
    <t>CCc1c2c(cc(Cl)n1)[nH]c(c1cc3c(cnn3c3cnc(OC(F)F)cc3OC)[nH]c1=O)n2</t>
  </si>
  <si>
    <t>GEN-0061974</t>
  </si>
  <si>
    <t>O=S(C1=NC=CC=C1N[C@H](C1=C2C=C(C3=CC=C(C4=CN(C(F)F)N=C4)N=C3)C(C#N)=NC2=CC(C)=C1)C)(N)=O</t>
  </si>
  <si>
    <t>GEN-0061818</t>
  </si>
  <si>
    <t>C1=C(C2=C3N(N=C2)C=C(C#N)C=C3)C=C(NS(=O)(=O)N2CC3(N)CC2C3)C(Cl)=C1</t>
  </si>
  <si>
    <t>GEN-0042983</t>
  </si>
  <si>
    <t>C[C@H](OC1=C(S(=O)(N)=O)C=CC=C1)C1=CC(C)=CC2=C1C=C(N1CCN(C3=CN(C)N=C3)CC1)C(C#N)=N2</t>
  </si>
  <si>
    <t>GEN-0042941</t>
  </si>
  <si>
    <t>COC1=CC(OC(F)F)=NC=C1C1=C2C=C(C3=CC4=CC(Cl)=NC=C4N3)C(=O)NC2=CC=N1</t>
  </si>
  <si>
    <t>GEN-0042787</t>
  </si>
  <si>
    <t>CCC1=NC(Cl)=CC2=C1C(F)=C(C1=CC3=C(C=CN=C3C3=CN=C(OC(F)F)C=C3OC)NC1=O)N2</t>
  </si>
  <si>
    <t>GEN-0042603</t>
  </si>
  <si>
    <t>O=S(C1=NC(Cl)=CC=C1O[C@H](C1=C2C=C(C3=NC=C(C4=CN(C)N=C4)N=C3)C(C#N)=NC2=CC(C)=C1)C)(N)=O</t>
  </si>
  <si>
    <t>GEN-0042280</t>
  </si>
  <si>
    <t>N#CC1=CC2=NC=C(C3=CC=C(Cl)C(NS(N4C[C@H]5CC[C@@H]4CN5)(=O)=O)=C3)N2C=C1</t>
  </si>
  <si>
    <t>GEN-0041511</t>
  </si>
  <si>
    <t>CC1=CC([C@@H](C)OC2=CC=C(Cl)C=C2S(=O)(=O)N)=C2C=C(C3=CC=C(C4=CN(C(F)F)N=C4)C=N3)C(C#N)=NC2=C1</t>
  </si>
  <si>
    <t>GEN-0041510</t>
  </si>
  <si>
    <t>CC1=CC([C@@H](C)OC2=CC=C(Cl)C=C2S(=O)(=O)N)=C2C=C(C3=CC=C(C4=CN(C(F)F)N=C4)N=C3)C(C#N)=NC2=C1</t>
  </si>
  <si>
    <t>GEN-0041396</t>
  </si>
  <si>
    <t>C1(C2=CC=C(Cl)C(NS(N3C4CC(N)(C4)C3)(=O)=O)=C2)=CN=C2N1C=CC(C#N)=C2</t>
  </si>
  <si>
    <t>GEN-0041002</t>
  </si>
  <si>
    <t>O=S(C1=CC(Cl)=CC=C1O[C@@H](C1=C2C=C(C3=CC=C(C4=CN(C)N=C4)N=C3)C(C#N)=NC2=CC(C)=C1)C)(N)=O</t>
  </si>
  <si>
    <t>GEN-0040908</t>
  </si>
  <si>
    <t>CC1=CC([C@@H](C)OC2=CC=C(Cl)N=C2S(=O)(=O)N)=C2C=C(C3=CC=C(C4=CN=C(OC)N=C4)N=C3)C(C#N)=NC2=C1</t>
  </si>
  <si>
    <t>GEN-0040522</t>
  </si>
  <si>
    <t>O=S(C1=CC=CC=C1N[C@@H](C1=C2C=C(C3=CC=C(C4=CN=C(OC)N=C4)N=C3)C(C#N)=NC2=CC(C)=C1)C)(N)=O</t>
  </si>
  <si>
    <t>GEN-0040509</t>
  </si>
  <si>
    <t>N1CCN(S(=O)(=O)NC2=C(Cl)C=CC(C3=C4N(N=C3)C=C(C#N)C=C4)=C2)CC1</t>
  </si>
  <si>
    <t>GEN-0039866</t>
  </si>
  <si>
    <t>CC1=C2C(=CC(Cl)=N1)NC(C1=CC3=C(C=CN=C3C3=CN=C(OC(F)F)C=C3OC)NC1=O)=C2</t>
  </si>
  <si>
    <t>GEN-0039861</t>
  </si>
  <si>
    <t>C[C@H](C1=C2C=C(C3=CN=C(N4CCC(C)(O)CC4)C=C3)C(C#N)=NC2=CC(C)=C1)NC1=CC=CC=C1S(N)(=O)=O</t>
  </si>
  <si>
    <t>GEN-0032390</t>
  </si>
  <si>
    <t>CC1=CC([C@@H](C)NC2=CC=CC=C2S(=O)(=O)N)=C2C=C(C3=CC=C(N4CCC(O)CC4)N=C3)C(C#N)=NC2=C1</t>
  </si>
  <si>
    <t>GEN-0031966</t>
  </si>
  <si>
    <t>c1cc(Cl)c(NS(=O)(=O)N2CCNCC2)cc1c1cnc2n1ccc(C#N)c2</t>
  </si>
  <si>
    <t>GEN-0031048</t>
  </si>
  <si>
    <t>N#CC1=CC2=NC=C(C3=CC=C(Cl)C(NS(C4=CNC5=C4C=CC=C5)(=O)=O)=C3)N2C=C1</t>
  </si>
  <si>
    <t>3.0</t>
  </si>
  <si>
    <t>GEN-0030998</t>
  </si>
  <si>
    <t>CC1=CC([C@@H](C)NC2=CC=CC=C2S(=O)(=O)N)=C2C=C(C3=CC=C(C4=CNN=C4)N=C3)C(C#N)=NC2=C1</t>
  </si>
  <si>
    <t>GEN-0030995</t>
  </si>
  <si>
    <t>CCC1=NC(Cl)=CC2=C1N=C(C1=CC3=C(C=CN=C3C3=CN=C(OC(F)F)C=C3OC)NC1=O)N2</t>
  </si>
  <si>
    <t>GEN-0030831</t>
  </si>
  <si>
    <t>CC1=CC2=C(C=C(C3=CC=C(C4=CN(C)N=C4)N=C3)C(C#N)=N2)C([C@H](OC2=C(S(N)(=O)=O)C(F)=CC=C2)C)=C1</t>
  </si>
  <si>
    <t>GEN-0029272</t>
  </si>
  <si>
    <t>C[C@H](C1=CC(Cl)=CC2=NC(C#N)=C(C34COC(C3)C4)C=C12)NC1=C(C(O)=O)C=CC=C1</t>
  </si>
  <si>
    <t>GEN-0028032</t>
  </si>
  <si>
    <t>CC1=CC2=C(C=C(C3=CC=C(C4=CN(C)N=C4)N=C3)C(C#N)=N2)C([C@H](OC2=C(S(N)(=O)=O)C=CC=C2)C)=C1</t>
  </si>
  <si>
    <t>GEN-0025960</t>
  </si>
  <si>
    <t>CC1=CC2=C(C=C(C3=CC=C(C4=CN(C)N=C4)N=C3)C(C#N)=N2)C([C@H](NC2=C(S(N)(=O)=O)N=CC=C2)C)=C1</t>
  </si>
  <si>
    <t>GEN-0025592</t>
  </si>
  <si>
    <t>CC1=CC2=C(C=C(C3=CC=C(C4=CN(C)N=C4)N=C3)C(C#N)=N2)C([C@H](NC2=C(S(N)(=O)=O)C=CC=C2)C)=C1</t>
  </si>
  <si>
    <t>GEN-0025342</t>
  </si>
  <si>
    <t>CC1=CC2=NC(C#N)=C(C3CCOCC3)C=C2C([C@H](NC2=C(S(N)(=O)=O)C=CC=C2)C)=C1</t>
  </si>
  <si>
    <t>GEN-0022526</t>
  </si>
  <si>
    <t>C[C@@H](NC1=C(C(O)=O)C=CC=C1)C1=CC(Cl)=CC2=NC(C#N)=C([C@@H]3COCC3)C=C12</t>
  </si>
  <si>
    <t>GEN-0020992</t>
  </si>
  <si>
    <t>CC1=CC([C@H](C)NC2=C(C(O)=O)C=CC=C2)=C2C=C(C3CCOCC3)C(C#N)=NC2=C1</t>
  </si>
  <si>
    <t>GEN-0020306</t>
  </si>
  <si>
    <t>Cc1cc([C@@H](C)Nc2ccccc2C(=O)O)c2cc(c3cnc(C4CC4)nc3)c(C#N)nc2c1</t>
  </si>
  <si>
    <t>GEN-0019538</t>
  </si>
  <si>
    <t>CC1=CC([C@H](C)NC2=C(C(O)=O)C=CC=C2)=C2C=C([C@H]3COCCC3)C(C#N)=NC2=C1</t>
  </si>
  <si>
    <t>GEN-0016892</t>
  </si>
  <si>
    <t>CC1=CC2=C(C([C@H](C)NC3=C(C(O)=O)C=CC=C3)=C1)C=C([C@@H]1COCCC1)C(C)=N2</t>
  </si>
  <si>
    <t>GEN-0016770</t>
  </si>
  <si>
    <t>CC1=CC2=C(CN([C@H]3COC4=C(C=CC=C4)C3)C2=O)C([C@@H](NC2=C(C(O)=O)C=CC=C2)C)=C1</t>
  </si>
  <si>
    <t>GEN-0016028</t>
  </si>
  <si>
    <t>O=S(C1=CC=C(NC2=NC=C([C@H]3C[C@@H](C([2H])([2H])OC(N[C@H](CC(F)(F)F)C)=O)C3)C=N2)C(F)=C1)(N)=O</t>
  </si>
  <si>
    <t>GEN-0014620</t>
  </si>
  <si>
    <t>FC(F)OC1=CC(NC2=CN=C3C=NN(C([2H])([2H])C4=CN=CC=C4)C3=N2)=NN1</t>
  </si>
  <si>
    <t>GEN-0013594</t>
  </si>
  <si>
    <t>O=S(N)(C1=CC=C(NC2=NC=C([C@H]3C[C@@H](COC(NC4(C)CC4)=O)C3)C=N2)C=C1)=O</t>
  </si>
  <si>
    <t>GEN-0013127</t>
  </si>
  <si>
    <t>FC(F)(C[C@H](C)NC(OC[C@H]1C[C@@H](C2=CN=C(NC3=CC=C(S(=O)(N)=O)C=C3F)N=C2)C1)=O)F</t>
  </si>
  <si>
    <t>GEN-0011664</t>
  </si>
  <si>
    <t>O=S(C1=CC=C(NC2=NC=C([C@@H]3C[C@H](OC(NC4(C)CC4)=O)CC3)C=N2)C=C1)(N)=O</t>
  </si>
  <si>
    <t>GEN-0011580</t>
  </si>
  <si>
    <t>C[C@@H](CC(F)(F)F)NC(=O)O[C@H]1CC[C@@H](C2=CN=C(NC3=CC=C(S(N)(=O)=O)C=C3)N=C2)C1</t>
  </si>
  <si>
    <t>GEN-0010491</t>
  </si>
  <si>
    <t>CCC[C@H](CF)NC(=O)O[C@H]1CC[C@@H](C2=CC(NC3=CC=C(S(N)(=O)=O)C=C3F)=NN2)C1</t>
  </si>
  <si>
    <t>GEN-0010049</t>
  </si>
  <si>
    <t>[2H]C([2H])([2H])C(NC(=O)O[C@H]1CC[C@@H](C2=CC(NC3=C(F)C=C(S(N)(=O)=O)C=C3F)=NN2)C1)(C([2H])([2H])[2H])C([2H])([2H])[2H]</t>
  </si>
  <si>
    <t>GEN-0010047</t>
  </si>
  <si>
    <t>[2H]C([2H])([2H])C(NC(=O)O[C@H]1CC[C@@H](C2=CC(NC3=C(F)C=C(S(N)(=O)=O)C=C3)=NN2)C1)(C([2H])([2H])[2H])C([2H])([2H])[2H]</t>
  </si>
  <si>
    <t>GEN-0009449</t>
  </si>
  <si>
    <t>C[C@H](CC(F)(F)F)NC(=O)O[C@H]1CC[C@@H](C2=CC(NC3=C(F)C=C(S(N)(=O)=O)C=C3)=NN2)C1</t>
  </si>
  <si>
    <t>GEN-0009176</t>
  </si>
  <si>
    <t>CCCNC(=O)O[C@H]1CC[C@@H](C2=CC(NC3=CC=CN4N=CC=C34)=NN2)C1</t>
  </si>
  <si>
    <t>GEN-0008994</t>
  </si>
  <si>
    <t>NS(=O)(=O)C1=CC=C(NC2=NNC([C@@H]3CC[C@H](OC(=O)NCCC(F)(F)F)C3)=C2)C(F)=C1</t>
  </si>
  <si>
    <t>GEN-0004013</t>
  </si>
  <si>
    <t>CC1(NC(=O)O[C@H]2CC[C@@H](C3=CC(NC4=C(F)C=C(S(N)(=O)=O)C=C4F)=NN3)C2)CC1</t>
  </si>
  <si>
    <t>GEN-0001642</t>
  </si>
  <si>
    <t>COCC1=NN(C)C(C(=O)NC2=NNC([C@H]3CC[C@@H](OC(=O)NC(C)C)C3)=C2)=C1</t>
  </si>
  <si>
    <t>AUC/Dose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</si>
</sst>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6"/>
  <sheetViews>
    <sheetView tabSelected="1" workbookViewId="0">
      <selection activeCell="E86" sqref="E86"/>
    </sheetView>
  </sheetViews>
  <sheetFormatPr baseColWidth="10" defaultColWidth="8.83203125" defaultRowHeight="15" x14ac:dyDescent="0.2"/>
  <cols>
    <col min="1" max="1" width="14" customWidth="1"/>
    <col min="2" max="2" width="24.5" customWidth="1"/>
  </cols>
  <sheetData>
    <row r="1" spans="1:5" ht="6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160</v>
      </c>
    </row>
    <row r="2" spans="1:5" ht="16" customHeight="1" x14ac:dyDescent="0.2">
      <c r="A2" s="2" t="s">
        <v>4</v>
      </c>
      <c r="B2" s="2" t="s">
        <v>5</v>
      </c>
      <c r="C2" s="2" t="s">
        <v>6</v>
      </c>
      <c r="D2" s="2">
        <v>1020</v>
      </c>
      <c r="E2">
        <f>D2/C2</f>
        <v>204</v>
      </c>
    </row>
    <row r="3" spans="1:5" ht="16" customHeight="1" x14ac:dyDescent="0.2">
      <c r="A3" s="2" t="s">
        <v>7</v>
      </c>
      <c r="B3" s="2" t="s">
        <v>8</v>
      </c>
      <c r="C3" s="2" t="s">
        <v>6</v>
      </c>
      <c r="D3" s="2">
        <v>1120</v>
      </c>
      <c r="E3">
        <f t="shared" ref="E3:E66" si="0">D3/C3</f>
        <v>224</v>
      </c>
    </row>
    <row r="4" spans="1:5" ht="16" customHeight="1" x14ac:dyDescent="0.2">
      <c r="A4" s="2" t="s">
        <v>9</v>
      </c>
      <c r="B4" s="2" t="s">
        <v>10</v>
      </c>
      <c r="C4" s="2" t="s">
        <v>11</v>
      </c>
      <c r="D4" s="2">
        <v>4150</v>
      </c>
      <c r="E4">
        <f t="shared" si="0"/>
        <v>830</v>
      </c>
    </row>
    <row r="5" spans="1:5" ht="16" customHeight="1" x14ac:dyDescent="0.2">
      <c r="A5" s="2" t="s">
        <v>12</v>
      </c>
      <c r="B5" s="2" t="s">
        <v>13</v>
      </c>
      <c r="C5" s="2" t="s">
        <v>11</v>
      </c>
      <c r="D5" s="2">
        <v>1470</v>
      </c>
      <c r="E5">
        <f t="shared" si="0"/>
        <v>294</v>
      </c>
    </row>
    <row r="6" spans="1:5" ht="16" customHeight="1" x14ac:dyDescent="0.2">
      <c r="A6" s="2" t="s">
        <v>14</v>
      </c>
      <c r="B6" s="2" t="s">
        <v>15</v>
      </c>
      <c r="C6" s="2" t="s">
        <v>11</v>
      </c>
      <c r="D6" s="2">
        <v>12200</v>
      </c>
      <c r="E6">
        <f t="shared" si="0"/>
        <v>2440</v>
      </c>
    </row>
    <row r="7" spans="1:5" ht="16" customHeight="1" x14ac:dyDescent="0.2">
      <c r="A7" s="2" t="s">
        <v>16</v>
      </c>
      <c r="B7" s="2" t="s">
        <v>17</v>
      </c>
      <c r="C7" s="2" t="s">
        <v>11</v>
      </c>
      <c r="D7" s="2">
        <v>4800</v>
      </c>
      <c r="E7">
        <f t="shared" si="0"/>
        <v>960</v>
      </c>
    </row>
    <row r="8" spans="1:5" ht="16" customHeight="1" x14ac:dyDescent="0.2">
      <c r="A8" s="2" t="s">
        <v>18</v>
      </c>
      <c r="B8" s="2" t="s">
        <v>19</v>
      </c>
      <c r="C8" s="2" t="s">
        <v>11</v>
      </c>
      <c r="D8" s="2">
        <v>256</v>
      </c>
      <c r="E8">
        <f t="shared" si="0"/>
        <v>51.2</v>
      </c>
    </row>
    <row r="9" spans="1:5" ht="16" customHeight="1" x14ac:dyDescent="0.2">
      <c r="A9" s="2" t="s">
        <v>20</v>
      </c>
      <c r="B9" s="2" t="s">
        <v>21</v>
      </c>
      <c r="C9" s="2" t="s">
        <v>11</v>
      </c>
      <c r="D9" s="2">
        <v>1160</v>
      </c>
      <c r="E9">
        <f t="shared" si="0"/>
        <v>232</v>
      </c>
    </row>
    <row r="10" spans="1:5" ht="16" customHeight="1" x14ac:dyDescent="0.2">
      <c r="A10" s="2" t="s">
        <v>22</v>
      </c>
      <c r="B10" s="2" t="s">
        <v>23</v>
      </c>
      <c r="C10" s="2" t="s">
        <v>11</v>
      </c>
      <c r="D10" s="2">
        <v>4550</v>
      </c>
      <c r="E10">
        <f t="shared" si="0"/>
        <v>910</v>
      </c>
    </row>
    <row r="11" spans="1:5" ht="16" customHeight="1" x14ac:dyDescent="0.2">
      <c r="A11" s="2" t="s">
        <v>24</v>
      </c>
      <c r="B11" s="2" t="s">
        <v>25</v>
      </c>
      <c r="C11" s="2" t="s">
        <v>11</v>
      </c>
      <c r="D11" s="2">
        <v>129</v>
      </c>
      <c r="E11">
        <f t="shared" si="0"/>
        <v>25.8</v>
      </c>
    </row>
    <row r="12" spans="1:5" ht="16" customHeight="1" x14ac:dyDescent="0.2">
      <c r="A12" s="2" t="s">
        <v>26</v>
      </c>
      <c r="B12" s="2" t="s">
        <v>27</v>
      </c>
      <c r="C12" s="2" t="s">
        <v>11</v>
      </c>
      <c r="D12" s="2">
        <v>3580</v>
      </c>
      <c r="E12">
        <f t="shared" si="0"/>
        <v>716</v>
      </c>
    </row>
    <row r="13" spans="1:5" ht="16" customHeight="1" x14ac:dyDescent="0.2">
      <c r="A13" s="2" t="s">
        <v>28</v>
      </c>
      <c r="B13" s="2" t="s">
        <v>29</v>
      </c>
      <c r="C13" s="2" t="s">
        <v>11</v>
      </c>
      <c r="D13" s="2">
        <v>408</v>
      </c>
      <c r="E13">
        <f t="shared" si="0"/>
        <v>81.599999999999994</v>
      </c>
    </row>
    <row r="14" spans="1:5" ht="16" customHeight="1" x14ac:dyDescent="0.2">
      <c r="A14" s="2" t="s">
        <v>30</v>
      </c>
      <c r="B14" s="2" t="s">
        <v>31</v>
      </c>
      <c r="C14" s="2" t="s">
        <v>11</v>
      </c>
      <c r="D14" s="2">
        <v>438</v>
      </c>
      <c r="E14">
        <f t="shared" si="0"/>
        <v>87.6</v>
      </c>
    </row>
    <row r="15" spans="1:5" ht="16" customHeight="1" x14ac:dyDescent="0.2">
      <c r="A15" s="2" t="s">
        <v>30</v>
      </c>
      <c r="B15" s="2" t="s">
        <v>31</v>
      </c>
      <c r="C15" s="2" t="s">
        <v>32</v>
      </c>
      <c r="D15" s="2">
        <v>0.32</v>
      </c>
      <c r="E15">
        <f t="shared" si="0"/>
        <v>3.2000000000000001E-2</v>
      </c>
    </row>
    <row r="16" spans="1:5" ht="16" customHeight="1" x14ac:dyDescent="0.2">
      <c r="A16" s="2" t="s">
        <v>33</v>
      </c>
      <c r="B16" s="2" t="s">
        <v>34</v>
      </c>
      <c r="C16" s="2" t="s">
        <v>11</v>
      </c>
      <c r="D16" s="2">
        <v>27.9</v>
      </c>
      <c r="E16">
        <f t="shared" si="0"/>
        <v>5.58</v>
      </c>
    </row>
    <row r="17" spans="1:5" ht="16" customHeight="1" x14ac:dyDescent="0.2">
      <c r="A17" s="2" t="s">
        <v>35</v>
      </c>
      <c r="B17" s="2" t="s">
        <v>36</v>
      </c>
      <c r="C17" s="2" t="s">
        <v>11</v>
      </c>
    </row>
    <row r="18" spans="1:5" ht="16" customHeight="1" x14ac:dyDescent="0.2">
      <c r="A18" s="2" t="s">
        <v>37</v>
      </c>
      <c r="B18" s="2" t="s">
        <v>38</v>
      </c>
      <c r="C18" s="2" t="s">
        <v>11</v>
      </c>
      <c r="D18" s="2">
        <v>1550</v>
      </c>
      <c r="E18">
        <f t="shared" si="0"/>
        <v>310</v>
      </c>
    </row>
    <row r="19" spans="1:5" ht="16" customHeight="1" x14ac:dyDescent="0.2">
      <c r="A19" s="2" t="s">
        <v>39</v>
      </c>
      <c r="B19" s="2" t="s">
        <v>40</v>
      </c>
      <c r="C19" s="2" t="s">
        <v>11</v>
      </c>
      <c r="D19" s="2">
        <v>1580</v>
      </c>
      <c r="E19">
        <f t="shared" si="0"/>
        <v>316</v>
      </c>
    </row>
    <row r="20" spans="1:5" ht="16" customHeight="1" x14ac:dyDescent="0.2">
      <c r="A20" s="2" t="s">
        <v>41</v>
      </c>
      <c r="B20" s="2" t="s">
        <v>42</v>
      </c>
      <c r="C20" s="2" t="s">
        <v>11</v>
      </c>
      <c r="D20" s="2">
        <v>3490</v>
      </c>
      <c r="E20">
        <f t="shared" si="0"/>
        <v>698</v>
      </c>
    </row>
    <row r="21" spans="1:5" ht="16" customHeight="1" x14ac:dyDescent="0.2">
      <c r="A21" s="2" t="s">
        <v>43</v>
      </c>
      <c r="B21" s="2" t="s">
        <v>44</v>
      </c>
      <c r="C21" s="2" t="s">
        <v>11</v>
      </c>
      <c r="D21" s="2">
        <v>4550</v>
      </c>
      <c r="E21">
        <f t="shared" si="0"/>
        <v>910</v>
      </c>
    </row>
    <row r="22" spans="1:5" ht="16" customHeight="1" x14ac:dyDescent="0.2">
      <c r="A22" s="2" t="s">
        <v>45</v>
      </c>
      <c r="B22" s="2" t="s">
        <v>46</v>
      </c>
      <c r="C22" s="2" t="s">
        <v>11</v>
      </c>
      <c r="D22" s="2">
        <v>2200</v>
      </c>
      <c r="E22">
        <f t="shared" si="0"/>
        <v>440</v>
      </c>
    </row>
    <row r="23" spans="1:5" ht="16" customHeight="1" x14ac:dyDescent="0.2">
      <c r="A23" s="2" t="s">
        <v>47</v>
      </c>
      <c r="B23" s="2" t="s">
        <v>48</v>
      </c>
      <c r="C23" s="2" t="s">
        <v>11</v>
      </c>
      <c r="D23" s="2">
        <v>2690</v>
      </c>
      <c r="E23">
        <f t="shared" si="0"/>
        <v>538</v>
      </c>
    </row>
    <row r="24" spans="1:5" ht="16" customHeight="1" x14ac:dyDescent="0.2">
      <c r="A24" s="2" t="s">
        <v>49</v>
      </c>
      <c r="B24" s="2" t="s">
        <v>50</v>
      </c>
      <c r="C24" s="2" t="s">
        <v>11</v>
      </c>
      <c r="D24" s="2">
        <v>1080</v>
      </c>
      <c r="E24">
        <f t="shared" si="0"/>
        <v>216</v>
      </c>
    </row>
    <row r="25" spans="1:5" ht="16" customHeight="1" x14ac:dyDescent="0.2">
      <c r="A25" s="2" t="s">
        <v>51</v>
      </c>
      <c r="B25" s="2" t="s">
        <v>52</v>
      </c>
      <c r="C25" s="2" t="s">
        <v>11</v>
      </c>
      <c r="D25" s="2">
        <v>12800</v>
      </c>
      <c r="E25">
        <f t="shared" si="0"/>
        <v>2560</v>
      </c>
    </row>
    <row r="26" spans="1:5" ht="16" customHeight="1" x14ac:dyDescent="0.2">
      <c r="A26" s="2" t="s">
        <v>53</v>
      </c>
      <c r="B26" s="2" t="s">
        <v>54</v>
      </c>
      <c r="C26" s="2" t="s">
        <v>11</v>
      </c>
      <c r="D26" s="2">
        <v>7570</v>
      </c>
      <c r="E26">
        <f t="shared" si="0"/>
        <v>1514</v>
      </c>
    </row>
    <row r="27" spans="1:5" ht="16" customHeight="1" x14ac:dyDescent="0.2">
      <c r="A27" s="2" t="s">
        <v>55</v>
      </c>
      <c r="B27" s="2" t="s">
        <v>56</v>
      </c>
      <c r="C27" s="2" t="s">
        <v>11</v>
      </c>
      <c r="D27" s="2">
        <v>1580</v>
      </c>
      <c r="E27">
        <f t="shared" si="0"/>
        <v>316</v>
      </c>
    </row>
    <row r="28" spans="1:5" ht="16" customHeight="1" x14ac:dyDescent="0.2">
      <c r="A28" s="2" t="s">
        <v>57</v>
      </c>
      <c r="B28" s="2" t="s">
        <v>58</v>
      </c>
      <c r="C28" s="2" t="s">
        <v>11</v>
      </c>
      <c r="D28" s="2">
        <v>3280</v>
      </c>
      <c r="E28">
        <f t="shared" si="0"/>
        <v>656</v>
      </c>
    </row>
    <row r="29" spans="1:5" ht="16" customHeight="1" x14ac:dyDescent="0.2">
      <c r="A29" s="2" t="s">
        <v>59</v>
      </c>
      <c r="B29" s="2" t="s">
        <v>60</v>
      </c>
      <c r="C29" s="2" t="s">
        <v>11</v>
      </c>
      <c r="D29" s="2">
        <v>58.5</v>
      </c>
      <c r="E29">
        <f t="shared" si="0"/>
        <v>11.7</v>
      </c>
    </row>
    <row r="30" spans="1:5" ht="16" customHeight="1" x14ac:dyDescent="0.2">
      <c r="A30" s="2" t="s">
        <v>61</v>
      </c>
      <c r="B30" s="2" t="s">
        <v>62</v>
      </c>
      <c r="C30" s="2" t="s">
        <v>11</v>
      </c>
      <c r="D30" s="2">
        <v>1410</v>
      </c>
      <c r="E30">
        <f t="shared" si="0"/>
        <v>282</v>
      </c>
    </row>
    <row r="31" spans="1:5" ht="16" customHeight="1" x14ac:dyDescent="0.2">
      <c r="A31" s="2" t="s">
        <v>61</v>
      </c>
      <c r="B31" s="2" t="s">
        <v>62</v>
      </c>
      <c r="C31" s="2" t="s">
        <v>11</v>
      </c>
      <c r="D31" s="2">
        <v>1410</v>
      </c>
      <c r="E31">
        <f t="shared" si="0"/>
        <v>282</v>
      </c>
    </row>
    <row r="32" spans="1:5" ht="16" customHeight="1" x14ac:dyDescent="0.2">
      <c r="A32" s="2" t="s">
        <v>63</v>
      </c>
      <c r="B32" s="2" t="s">
        <v>64</v>
      </c>
      <c r="C32" s="2" t="s">
        <v>11</v>
      </c>
    </row>
    <row r="33" spans="1:5" ht="16" customHeight="1" x14ac:dyDescent="0.2">
      <c r="A33" s="2" t="s">
        <v>65</v>
      </c>
      <c r="B33" s="2" t="s">
        <v>66</v>
      </c>
      <c r="C33" s="2" t="s">
        <v>11</v>
      </c>
      <c r="D33" s="2">
        <v>17700</v>
      </c>
      <c r="E33">
        <f t="shared" si="0"/>
        <v>3540</v>
      </c>
    </row>
    <row r="34" spans="1:5" ht="16" customHeight="1" x14ac:dyDescent="0.2">
      <c r="A34" s="2" t="s">
        <v>67</v>
      </c>
      <c r="B34" s="2" t="s">
        <v>68</v>
      </c>
      <c r="C34" s="2" t="s">
        <v>11</v>
      </c>
      <c r="D34" s="2">
        <v>72000</v>
      </c>
      <c r="E34">
        <f t="shared" si="0"/>
        <v>14400</v>
      </c>
    </row>
    <row r="35" spans="1:5" ht="16" customHeight="1" x14ac:dyDescent="0.2">
      <c r="A35" s="2" t="s">
        <v>69</v>
      </c>
      <c r="B35" s="2" t="s">
        <v>70</v>
      </c>
      <c r="C35" s="2" t="s">
        <v>11</v>
      </c>
      <c r="D35" s="2">
        <v>1600</v>
      </c>
      <c r="E35">
        <f t="shared" si="0"/>
        <v>320</v>
      </c>
    </row>
    <row r="36" spans="1:5" ht="16" customHeight="1" x14ac:dyDescent="0.2">
      <c r="A36" s="2" t="s">
        <v>71</v>
      </c>
      <c r="B36" s="2" t="s">
        <v>72</v>
      </c>
      <c r="C36" s="2" t="s">
        <v>11</v>
      </c>
      <c r="D36" s="2">
        <v>2810</v>
      </c>
      <c r="E36">
        <f t="shared" si="0"/>
        <v>562</v>
      </c>
    </row>
    <row r="37" spans="1:5" ht="16" customHeight="1" x14ac:dyDescent="0.2">
      <c r="A37" s="2" t="s">
        <v>73</v>
      </c>
      <c r="B37" s="2" t="s">
        <v>74</v>
      </c>
      <c r="C37" s="2" t="s">
        <v>11</v>
      </c>
      <c r="D37" s="2">
        <v>4100</v>
      </c>
      <c r="E37">
        <f t="shared" si="0"/>
        <v>820</v>
      </c>
    </row>
    <row r="38" spans="1:5" ht="16" customHeight="1" x14ac:dyDescent="0.2">
      <c r="A38" s="2" t="s">
        <v>75</v>
      </c>
      <c r="B38" s="2" t="s">
        <v>76</v>
      </c>
      <c r="C38" s="2" t="s">
        <v>11</v>
      </c>
      <c r="D38" s="2">
        <v>187</v>
      </c>
      <c r="E38">
        <f t="shared" si="0"/>
        <v>37.4</v>
      </c>
    </row>
    <row r="39" spans="1:5" ht="16" customHeight="1" x14ac:dyDescent="0.2">
      <c r="A39" s="2" t="s">
        <v>77</v>
      </c>
      <c r="B39" s="2" t="s">
        <v>78</v>
      </c>
      <c r="C39" s="2" t="s">
        <v>11</v>
      </c>
      <c r="D39" s="2">
        <v>494</v>
      </c>
      <c r="E39">
        <f t="shared" si="0"/>
        <v>98.8</v>
      </c>
    </row>
    <row r="40" spans="1:5" ht="16" customHeight="1" x14ac:dyDescent="0.2">
      <c r="A40" s="2" t="s">
        <v>79</v>
      </c>
      <c r="B40" s="2" t="s">
        <v>80</v>
      </c>
      <c r="C40" s="2" t="s">
        <v>11</v>
      </c>
      <c r="D40" s="2">
        <v>23600</v>
      </c>
      <c r="E40">
        <f t="shared" si="0"/>
        <v>4720</v>
      </c>
    </row>
    <row r="41" spans="1:5" ht="16" customHeight="1" x14ac:dyDescent="0.2">
      <c r="A41" s="2" t="s">
        <v>81</v>
      </c>
      <c r="B41" s="2" t="s">
        <v>82</v>
      </c>
      <c r="C41" s="2" t="s">
        <v>11</v>
      </c>
      <c r="D41" s="2">
        <v>17700</v>
      </c>
      <c r="E41">
        <f t="shared" si="0"/>
        <v>3540</v>
      </c>
    </row>
    <row r="42" spans="1:5" ht="16" customHeight="1" x14ac:dyDescent="0.2">
      <c r="A42" s="2" t="s">
        <v>83</v>
      </c>
      <c r="B42" s="2" t="s">
        <v>84</v>
      </c>
      <c r="C42" s="2" t="s">
        <v>11</v>
      </c>
      <c r="D42" s="2">
        <v>59200</v>
      </c>
      <c r="E42">
        <f t="shared" si="0"/>
        <v>11840</v>
      </c>
    </row>
    <row r="43" spans="1:5" ht="16" customHeight="1" x14ac:dyDescent="0.2">
      <c r="A43" s="2" t="s">
        <v>85</v>
      </c>
      <c r="B43" s="2" t="s">
        <v>86</v>
      </c>
      <c r="C43" s="2" t="s">
        <v>11</v>
      </c>
      <c r="D43" s="2">
        <v>6880</v>
      </c>
      <c r="E43">
        <f t="shared" si="0"/>
        <v>1376</v>
      </c>
    </row>
    <row r="44" spans="1:5" ht="16" customHeight="1" x14ac:dyDescent="0.2">
      <c r="A44" s="2" t="s">
        <v>87</v>
      </c>
      <c r="B44" s="2" t="s">
        <v>88</v>
      </c>
      <c r="C44" s="2" t="s">
        <v>11</v>
      </c>
      <c r="D44" s="2">
        <v>24.4</v>
      </c>
      <c r="E44">
        <f t="shared" si="0"/>
        <v>4.88</v>
      </c>
    </row>
    <row r="45" spans="1:5" ht="16" customHeight="1" x14ac:dyDescent="0.2">
      <c r="A45" s="2" t="s">
        <v>89</v>
      </c>
      <c r="B45" s="2" t="s">
        <v>90</v>
      </c>
      <c r="C45" s="2" t="s">
        <v>11</v>
      </c>
      <c r="D45" s="2">
        <v>81.900000000000006</v>
      </c>
      <c r="E45">
        <f t="shared" si="0"/>
        <v>16.380000000000003</v>
      </c>
    </row>
    <row r="46" spans="1:5" ht="16" customHeight="1" x14ac:dyDescent="0.2">
      <c r="A46" s="2" t="s">
        <v>91</v>
      </c>
      <c r="B46" s="2" t="s">
        <v>92</v>
      </c>
      <c r="C46" s="2" t="s">
        <v>11</v>
      </c>
      <c r="D46" s="2">
        <v>15200</v>
      </c>
      <c r="E46">
        <f t="shared" si="0"/>
        <v>3040</v>
      </c>
    </row>
    <row r="47" spans="1:5" ht="16" customHeight="1" x14ac:dyDescent="0.2">
      <c r="A47" s="2" t="s">
        <v>93</v>
      </c>
      <c r="B47" s="2" t="s">
        <v>94</v>
      </c>
      <c r="C47" s="2" t="s">
        <v>11</v>
      </c>
      <c r="D47" s="2">
        <v>2070</v>
      </c>
      <c r="E47">
        <f t="shared" si="0"/>
        <v>414</v>
      </c>
    </row>
    <row r="48" spans="1:5" ht="16" customHeight="1" x14ac:dyDescent="0.2">
      <c r="A48" s="2" t="s">
        <v>95</v>
      </c>
      <c r="B48" s="2" t="s">
        <v>96</v>
      </c>
      <c r="C48" s="2" t="s">
        <v>11</v>
      </c>
      <c r="D48" s="2">
        <v>170</v>
      </c>
      <c r="E48">
        <f t="shared" si="0"/>
        <v>34</v>
      </c>
    </row>
    <row r="49" spans="1:5" ht="16" customHeight="1" x14ac:dyDescent="0.2">
      <c r="A49" s="2" t="s">
        <v>97</v>
      </c>
      <c r="B49" s="2" t="s">
        <v>98</v>
      </c>
      <c r="C49" s="2" t="s">
        <v>11</v>
      </c>
      <c r="D49" s="2">
        <v>1480</v>
      </c>
      <c r="E49">
        <f t="shared" si="0"/>
        <v>296</v>
      </c>
    </row>
    <row r="50" spans="1:5" ht="16" customHeight="1" x14ac:dyDescent="0.2">
      <c r="A50" s="2" t="s">
        <v>99</v>
      </c>
      <c r="B50" s="2" t="s">
        <v>100</v>
      </c>
      <c r="C50" s="2" t="s">
        <v>11</v>
      </c>
      <c r="D50" s="2">
        <v>3780</v>
      </c>
      <c r="E50">
        <f t="shared" si="0"/>
        <v>756</v>
      </c>
    </row>
    <row r="51" spans="1:5" ht="16" customHeight="1" x14ac:dyDescent="0.2">
      <c r="A51" s="2" t="s">
        <v>101</v>
      </c>
      <c r="B51" s="2" t="s">
        <v>102</v>
      </c>
      <c r="C51" s="2" t="s">
        <v>103</v>
      </c>
      <c r="D51" s="2">
        <v>36600</v>
      </c>
      <c r="E51">
        <f t="shared" si="0"/>
        <v>12200</v>
      </c>
    </row>
    <row r="52" spans="1:5" ht="16" customHeight="1" x14ac:dyDescent="0.2">
      <c r="A52" s="2" t="s">
        <v>104</v>
      </c>
      <c r="B52" s="2" t="s">
        <v>105</v>
      </c>
      <c r="C52" s="2" t="s">
        <v>11</v>
      </c>
      <c r="D52" s="2">
        <v>294</v>
      </c>
      <c r="E52">
        <f t="shared" si="0"/>
        <v>58.8</v>
      </c>
    </row>
    <row r="53" spans="1:5" ht="16" customHeight="1" x14ac:dyDescent="0.2">
      <c r="A53" s="2" t="s">
        <v>106</v>
      </c>
      <c r="B53" s="2" t="s">
        <v>107</v>
      </c>
      <c r="C53" s="2" t="s">
        <v>11</v>
      </c>
      <c r="D53" s="2">
        <v>3850</v>
      </c>
      <c r="E53">
        <f t="shared" si="0"/>
        <v>770</v>
      </c>
    </row>
    <row r="54" spans="1:5" ht="16" customHeight="1" x14ac:dyDescent="0.2">
      <c r="A54" s="2" t="s">
        <v>108</v>
      </c>
      <c r="B54" s="2" t="s">
        <v>109</v>
      </c>
      <c r="C54" s="2" t="s">
        <v>11</v>
      </c>
      <c r="D54" s="2">
        <v>6630</v>
      </c>
      <c r="E54">
        <f t="shared" si="0"/>
        <v>1326</v>
      </c>
    </row>
    <row r="55" spans="1:5" ht="16" customHeight="1" x14ac:dyDescent="0.2">
      <c r="A55" s="2" t="s">
        <v>110</v>
      </c>
      <c r="B55" s="2" t="s">
        <v>111</v>
      </c>
      <c r="C55" s="2" t="s">
        <v>103</v>
      </c>
      <c r="D55" s="2">
        <v>18400</v>
      </c>
      <c r="E55">
        <f t="shared" si="0"/>
        <v>6133.333333333333</v>
      </c>
    </row>
    <row r="56" spans="1:5" ht="16" customHeight="1" x14ac:dyDescent="0.2">
      <c r="A56" s="2" t="s">
        <v>112</v>
      </c>
      <c r="B56" s="2" t="s">
        <v>113</v>
      </c>
      <c r="C56" s="2" t="s">
        <v>32</v>
      </c>
      <c r="D56" s="2">
        <v>5960</v>
      </c>
      <c r="E56">
        <f t="shared" si="0"/>
        <v>596</v>
      </c>
    </row>
    <row r="57" spans="1:5" ht="16" customHeight="1" x14ac:dyDescent="0.2">
      <c r="A57" s="2" t="s">
        <v>114</v>
      </c>
      <c r="B57" s="2" t="s">
        <v>115</v>
      </c>
      <c r="C57" s="2" t="s">
        <v>11</v>
      </c>
      <c r="D57" s="2">
        <v>6050</v>
      </c>
      <c r="E57">
        <f t="shared" si="0"/>
        <v>1210</v>
      </c>
    </row>
    <row r="58" spans="1:5" ht="16" customHeight="1" x14ac:dyDescent="0.2">
      <c r="A58" s="2" t="s">
        <v>116</v>
      </c>
      <c r="B58" s="2" t="s">
        <v>117</v>
      </c>
      <c r="C58" s="2" t="s">
        <v>32</v>
      </c>
      <c r="D58" s="2">
        <v>3480</v>
      </c>
      <c r="E58">
        <f t="shared" si="0"/>
        <v>348</v>
      </c>
    </row>
    <row r="59" spans="1:5" ht="16" customHeight="1" x14ac:dyDescent="0.2">
      <c r="A59" s="2" t="s">
        <v>118</v>
      </c>
      <c r="B59" s="2" t="s">
        <v>119</v>
      </c>
      <c r="C59" s="2" t="s">
        <v>11</v>
      </c>
      <c r="D59" s="2">
        <v>1620</v>
      </c>
      <c r="E59">
        <f t="shared" si="0"/>
        <v>324</v>
      </c>
    </row>
    <row r="60" spans="1:5" ht="16" customHeight="1" x14ac:dyDescent="0.2">
      <c r="A60" s="2" t="s">
        <v>120</v>
      </c>
      <c r="B60" s="2" t="s">
        <v>121</v>
      </c>
      <c r="C60" s="2" t="s">
        <v>32</v>
      </c>
      <c r="D60" s="2">
        <v>16100</v>
      </c>
      <c r="E60">
        <f t="shared" si="0"/>
        <v>1610</v>
      </c>
    </row>
    <row r="61" spans="1:5" ht="16" customHeight="1" x14ac:dyDescent="0.2">
      <c r="A61" s="2" t="s">
        <v>122</v>
      </c>
      <c r="B61" s="2" t="s">
        <v>123</v>
      </c>
      <c r="C61" s="2" t="s">
        <v>32</v>
      </c>
      <c r="D61" s="2">
        <v>25600</v>
      </c>
      <c r="E61">
        <f t="shared" si="0"/>
        <v>2560</v>
      </c>
    </row>
    <row r="62" spans="1:5" ht="16" customHeight="1" x14ac:dyDescent="0.2">
      <c r="A62" s="2" t="s">
        <v>124</v>
      </c>
      <c r="B62" s="2" t="s">
        <v>125</v>
      </c>
      <c r="C62" s="2" t="s">
        <v>103</v>
      </c>
      <c r="D62" s="2">
        <v>20400</v>
      </c>
      <c r="E62">
        <f t="shared" si="0"/>
        <v>6800</v>
      </c>
    </row>
    <row r="63" spans="1:5" ht="16" customHeight="1" x14ac:dyDescent="0.2">
      <c r="A63" s="2" t="s">
        <v>126</v>
      </c>
      <c r="B63" s="2" t="s">
        <v>127</v>
      </c>
      <c r="C63" s="2" t="s">
        <v>32</v>
      </c>
      <c r="D63" s="2">
        <v>33200</v>
      </c>
      <c r="E63">
        <f t="shared" si="0"/>
        <v>3320</v>
      </c>
    </row>
    <row r="64" spans="1:5" ht="16" customHeight="1" x14ac:dyDescent="0.2">
      <c r="A64" s="2" t="s">
        <v>128</v>
      </c>
      <c r="B64" s="2" t="s">
        <v>129</v>
      </c>
      <c r="C64" s="2" t="s">
        <v>103</v>
      </c>
      <c r="D64" s="2">
        <v>6630</v>
      </c>
      <c r="E64">
        <f t="shared" si="0"/>
        <v>2210</v>
      </c>
    </row>
    <row r="65" spans="1:5" ht="16" customHeight="1" x14ac:dyDescent="0.2">
      <c r="A65" s="2" t="s">
        <v>130</v>
      </c>
      <c r="B65" s="2" t="s">
        <v>131</v>
      </c>
      <c r="C65" s="2" t="s">
        <v>103</v>
      </c>
      <c r="D65" s="2">
        <v>13900</v>
      </c>
      <c r="E65">
        <f t="shared" si="0"/>
        <v>4633.333333333333</v>
      </c>
    </row>
    <row r="66" spans="1:5" ht="16" customHeight="1" x14ac:dyDescent="0.2">
      <c r="A66" s="2" t="s">
        <v>132</v>
      </c>
      <c r="B66" s="2" t="s">
        <v>133</v>
      </c>
      <c r="C66" s="2" t="s">
        <v>103</v>
      </c>
      <c r="D66" s="2">
        <v>3380</v>
      </c>
      <c r="E66">
        <f t="shared" si="0"/>
        <v>1126.6666666666667</v>
      </c>
    </row>
    <row r="67" spans="1:5" ht="16" customHeight="1" x14ac:dyDescent="0.2">
      <c r="A67" s="2" t="s">
        <v>132</v>
      </c>
      <c r="B67" s="2" t="s">
        <v>133</v>
      </c>
      <c r="C67" s="2" t="s">
        <v>103</v>
      </c>
      <c r="D67" s="2">
        <v>195000</v>
      </c>
      <c r="E67">
        <f t="shared" ref="E67:E86" si="1">D67/C67</f>
        <v>65000</v>
      </c>
    </row>
    <row r="68" spans="1:5" ht="16" customHeight="1" x14ac:dyDescent="0.2">
      <c r="A68" s="2" t="s">
        <v>134</v>
      </c>
      <c r="B68" s="2" t="s">
        <v>135</v>
      </c>
      <c r="C68" s="2" t="s">
        <v>103</v>
      </c>
      <c r="D68" s="2">
        <v>708</v>
      </c>
      <c r="E68">
        <f t="shared" si="1"/>
        <v>236</v>
      </c>
    </row>
    <row r="69" spans="1:5" ht="16" customHeight="1" x14ac:dyDescent="0.2">
      <c r="A69" s="2" t="s">
        <v>136</v>
      </c>
      <c r="B69" s="2" t="s">
        <v>137</v>
      </c>
      <c r="C69" s="2" t="s">
        <v>103</v>
      </c>
      <c r="D69" s="2">
        <v>1510</v>
      </c>
      <c r="E69">
        <f t="shared" si="1"/>
        <v>503.33333333333331</v>
      </c>
    </row>
    <row r="70" spans="1:5" ht="16" customHeight="1" x14ac:dyDescent="0.2">
      <c r="A70" s="2" t="s">
        <v>136</v>
      </c>
      <c r="B70" s="2" t="s">
        <v>137</v>
      </c>
      <c r="C70" s="2" t="s">
        <v>103</v>
      </c>
      <c r="D70" s="2">
        <v>43400</v>
      </c>
      <c r="E70">
        <f t="shared" si="1"/>
        <v>14466.666666666666</v>
      </c>
    </row>
    <row r="71" spans="1:5" ht="16" customHeight="1" x14ac:dyDescent="0.2">
      <c r="A71" s="2" t="s">
        <v>138</v>
      </c>
      <c r="B71" s="2" t="s">
        <v>139</v>
      </c>
      <c r="C71" s="2" t="s">
        <v>103</v>
      </c>
      <c r="D71" s="2">
        <v>4340</v>
      </c>
      <c r="E71">
        <f t="shared" si="1"/>
        <v>1446.6666666666667</v>
      </c>
    </row>
    <row r="72" spans="1:5" ht="16" customHeight="1" x14ac:dyDescent="0.2">
      <c r="A72" s="2" t="s">
        <v>138</v>
      </c>
      <c r="B72" s="2" t="s">
        <v>139</v>
      </c>
      <c r="C72" s="2" t="s">
        <v>103</v>
      </c>
      <c r="D72" s="2">
        <v>192000</v>
      </c>
      <c r="E72">
        <f t="shared" si="1"/>
        <v>64000</v>
      </c>
    </row>
    <row r="73" spans="1:5" ht="16" customHeight="1" x14ac:dyDescent="0.2">
      <c r="A73" s="2" t="s">
        <v>140</v>
      </c>
      <c r="B73" s="2" t="s">
        <v>141</v>
      </c>
      <c r="C73" s="2" t="s">
        <v>103</v>
      </c>
      <c r="D73" s="2">
        <v>938</v>
      </c>
      <c r="E73">
        <f t="shared" si="1"/>
        <v>312.66666666666669</v>
      </c>
    </row>
    <row r="74" spans="1:5" ht="16" customHeight="1" x14ac:dyDescent="0.2">
      <c r="A74" s="2" t="s">
        <v>140</v>
      </c>
      <c r="B74" s="2" t="s">
        <v>141</v>
      </c>
      <c r="C74" s="2" t="s">
        <v>103</v>
      </c>
      <c r="D74" s="2">
        <v>59400</v>
      </c>
      <c r="E74">
        <f t="shared" si="1"/>
        <v>19800</v>
      </c>
    </row>
    <row r="75" spans="1:5" ht="16" customHeight="1" x14ac:dyDescent="0.2">
      <c r="A75" s="2" t="s">
        <v>142</v>
      </c>
      <c r="B75" s="2" t="s">
        <v>143</v>
      </c>
      <c r="C75" s="2" t="s">
        <v>103</v>
      </c>
      <c r="D75" s="2">
        <v>677</v>
      </c>
      <c r="E75">
        <f t="shared" si="1"/>
        <v>225.66666666666666</v>
      </c>
    </row>
    <row r="76" spans="1:5" ht="16" customHeight="1" x14ac:dyDescent="0.2">
      <c r="A76" s="2" t="s">
        <v>142</v>
      </c>
      <c r="B76" s="2" t="s">
        <v>143</v>
      </c>
      <c r="C76" s="2" t="s">
        <v>103</v>
      </c>
      <c r="D76" s="2">
        <v>16700</v>
      </c>
      <c r="E76">
        <f t="shared" si="1"/>
        <v>5566.666666666667</v>
      </c>
    </row>
    <row r="77" spans="1:5" ht="16" customHeight="1" x14ac:dyDescent="0.2">
      <c r="A77" s="2" t="s">
        <v>144</v>
      </c>
      <c r="B77" s="2" t="s">
        <v>145</v>
      </c>
      <c r="C77" s="2" t="s">
        <v>32</v>
      </c>
      <c r="D77" s="2">
        <v>26500</v>
      </c>
      <c r="E77">
        <f t="shared" si="1"/>
        <v>2650</v>
      </c>
    </row>
    <row r="78" spans="1:5" ht="16" customHeight="1" x14ac:dyDescent="0.2">
      <c r="A78" s="2" t="s">
        <v>146</v>
      </c>
      <c r="B78" s="2" t="s">
        <v>147</v>
      </c>
      <c r="C78" s="2" t="s">
        <v>32</v>
      </c>
      <c r="D78" s="2">
        <v>157000</v>
      </c>
      <c r="E78">
        <f t="shared" si="1"/>
        <v>15700</v>
      </c>
    </row>
    <row r="79" spans="1:5" ht="16" customHeight="1" x14ac:dyDescent="0.2">
      <c r="A79" s="2" t="s">
        <v>148</v>
      </c>
      <c r="B79" s="2" t="s">
        <v>149</v>
      </c>
      <c r="C79" s="2" t="s">
        <v>32</v>
      </c>
      <c r="D79" s="2">
        <v>53100</v>
      </c>
      <c r="E79">
        <f t="shared" si="1"/>
        <v>5310</v>
      </c>
    </row>
    <row r="80" spans="1:5" ht="16" customHeight="1" x14ac:dyDescent="0.2">
      <c r="A80" s="2" t="s">
        <v>150</v>
      </c>
      <c r="B80" s="2" t="s">
        <v>151</v>
      </c>
      <c r="D80" s="2">
        <v>525</v>
      </c>
    </row>
    <row r="81" spans="1:5" ht="16" customHeight="1" x14ac:dyDescent="0.2">
      <c r="A81" s="2" t="s">
        <v>152</v>
      </c>
      <c r="B81" s="2" t="s">
        <v>153</v>
      </c>
      <c r="D81" s="2">
        <v>714</v>
      </c>
    </row>
    <row r="82" spans="1:5" ht="16" customHeight="1" x14ac:dyDescent="0.2">
      <c r="A82" s="2" t="s">
        <v>152</v>
      </c>
      <c r="B82" s="2" t="s">
        <v>153</v>
      </c>
      <c r="D82" s="2">
        <v>613</v>
      </c>
    </row>
    <row r="83" spans="1:5" ht="16" customHeight="1" x14ac:dyDescent="0.2">
      <c r="A83" s="2" t="s">
        <v>154</v>
      </c>
      <c r="B83" s="2" t="s">
        <v>155</v>
      </c>
      <c r="D83" s="2">
        <v>1490</v>
      </c>
    </row>
    <row r="84" spans="1:5" ht="16" customHeight="1" x14ac:dyDescent="0.2">
      <c r="A84" s="2" t="s">
        <v>156</v>
      </c>
      <c r="B84" s="2" t="s">
        <v>157</v>
      </c>
      <c r="D84" s="2">
        <v>189</v>
      </c>
    </row>
    <row r="85" spans="1:5" ht="16" customHeight="1" x14ac:dyDescent="0.2">
      <c r="A85" s="2" t="s">
        <v>156</v>
      </c>
      <c r="B85" s="2" t="s">
        <v>157</v>
      </c>
      <c r="C85" s="2" t="s">
        <v>32</v>
      </c>
      <c r="D85" s="2">
        <v>55900</v>
      </c>
      <c r="E85">
        <f t="shared" si="1"/>
        <v>5590</v>
      </c>
    </row>
    <row r="86" spans="1:5" ht="16" customHeight="1" x14ac:dyDescent="0.2">
      <c r="A86" s="2" t="s">
        <v>158</v>
      </c>
      <c r="B86" s="2" t="s">
        <v>159</v>
      </c>
      <c r="D86" s="2">
        <v>3730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CDD Export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Ardalan Ardeshiri</cp:lastModifiedBy>
  <dcterms:created xsi:type="dcterms:W3CDTF">2025-11-06T21:33:48Z</dcterms:created>
  <dcterms:modified xsi:type="dcterms:W3CDTF">2025-11-06T21:35:31Z</dcterms:modified>
</cp:coreProperties>
</file>